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Raw Cancellations" sheetId="3" r:id="rId3"/>
    <sheet name="Tag Summary" sheetId="4" r:id="rId4"/>
    <sheet name="Action Plan" sheetId="5" r:id="rId5"/>
    <sheet name="Dashboard" sheetId="6" r:id="rId6"/>
    <sheet name="Call Notes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Churn Report Template</t>
        </is>
      </c>
    </row>
    <row r="3" ht="42" customHeight="1">
      <c r="A3" t="inlineStr" s="2">
        <is>
          <t>Pack</t>
        </is>
      </c>
      <c r="B3" t="inlineStr" s="2">
        <is>
          <t>Boutique Gym Churn Report</t>
        </is>
      </c>
    </row>
    <row r="4" ht="42" customHeight="1">
      <c r="A4" t="inlineStr" s="6">
        <is>
          <t>What this is</t>
        </is>
      </c>
      <c r="B4" t="inlineStr" s="6">
        <is>
          <t>A spreadsheet for tagging cancellations and surfacing trends.</t>
        </is>
      </c>
    </row>
    <row r="5" ht="42" customHeight="1">
      <c r="A5" t="inlineStr" s="2">
        <is>
          <t>Buyer</t>
        </is>
      </c>
      <c r="B5" t="inlineStr" s="2">
        <is>
          <t>Boutique gyms and studios</t>
        </is>
      </c>
    </row>
    <row r="6" ht="42" customHeight="1">
      <c r="A6" t="inlineStr" s="6">
        <is>
          <t>Category</t>
        </is>
      </c>
      <c r="B6" t="inlineStr" s="6">
        <is>
          <t>B2B Service</t>
        </is>
      </c>
    </row>
    <row r="7" ht="42" customHeight="1">
      <c r="A7" t="inlineStr" s="2">
        <is>
          <t>Startup cost</t>
        </is>
      </c>
      <c r="B7" t="inlineStr" s="2">
        <is>
          <t>$0</t>
        </is>
      </c>
    </row>
    <row r="8" ht="42" customHeight="1">
      <c r="A8" t="inlineStr" s="6">
        <is>
          <t>Time to first sale</t>
        </is>
      </c>
      <c r="B8" t="inlineStr" s="6">
        <is>
          <t>2-4 weeks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Paste every cancellation into Raw Cancellations.</t>
        </is>
      </c>
    </row>
    <row r="3" ht="42" customHeight="1">
      <c r="A3" s="4">
        <v>2</v>
      </c>
      <c r="B3" t="inlineStr" s="2">
        <is>
          <t>Keep Reason Tag consistent so the summary formulas work.</t>
        </is>
      </c>
    </row>
    <row r="4" ht="42" customHeight="1">
      <c r="A4" s="8">
        <v>3</v>
      </c>
      <c r="B4" t="inlineStr" s="6">
        <is>
          <t>Review Dashboard before the monthly retention call.</t>
        </is>
      </c>
    </row>
    <row r="5" ht="42" customHeight="1">
      <c r="A5" s="4">
        <v>4</v>
      </c>
      <c r="B5" t="inlineStr" s="2">
        <is>
          <t>Move agreed actions into Action Plan and assign owners.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13" customWidth="1"/>
    <col min="2" max="2" width="14" customWidth="1"/>
    <col min="3" max="3" width="13" customWidth="1"/>
    <col min="4" max="4" width="14" customWidth="1"/>
    <col min="5" max="5" width="15" customWidth="1"/>
    <col min="6" max="6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Date</t>
        </is>
      </c>
      <c r="B1" t="inlineStr" s="1">
        <is>
          <t>Member Type</t>
        </is>
      </c>
      <c r="C1" t="inlineStr" s="1">
        <is>
          <t>Reason Tag</t>
        </is>
      </c>
      <c r="D1" t="inlineStr" s="1">
        <is>
          <t>Monthly Fee</t>
        </is>
      </c>
      <c r="E1" t="inlineStr" s="1">
        <is>
          <t>Save Offered</t>
        </is>
      </c>
      <c r="F1" t="inlineStr" s="1">
        <is>
          <t>Saved?</t>
        </is>
      </c>
    </row>
    <row r="2" ht="42" customHeight="1">
      <c r="A2" s="11">
        <v>46174</v>
      </c>
      <c r="B2" t="inlineStr" s="6">
        <is>
          <t>Unlimited</t>
        </is>
      </c>
      <c r="C2" t="inlineStr" s="6">
        <is>
          <t>Price</t>
        </is>
      </c>
      <c r="D2" s="7">
        <v>189</v>
      </c>
      <c r="E2" t="inlineStr" s="6">
        <is>
          <t>Pause plan</t>
        </is>
      </c>
      <c r="F2" t="inlineStr" s="6">
        <is>
          <t>No</t>
        </is>
      </c>
    </row>
    <row r="3" ht="42" customHeight="1">
      <c r="A3" s="10">
        <v>46176</v>
      </c>
      <c r="B3" t="inlineStr" s="2">
        <is>
          <t>2x Week</t>
        </is>
      </c>
      <c r="C3" t="inlineStr" s="2">
        <is>
          <t>Schedule</t>
        </is>
      </c>
      <c r="D3" s="3">
        <v>129</v>
      </c>
      <c r="E3" t="inlineStr" s="2">
        <is>
          <t>Class swap</t>
        </is>
      </c>
      <c r="F3" t="inlineStr" s="2">
        <is>
          <t>Yes</t>
        </is>
      </c>
    </row>
    <row r="4" ht="42" customHeight="1">
      <c r="A4" s="11">
        <v>46178</v>
      </c>
      <c r="B4" t="inlineStr" s="6">
        <is>
          <t>Unlimited</t>
        </is>
      </c>
      <c r="C4" t="inlineStr" s="6">
        <is>
          <t>Experience</t>
        </is>
      </c>
      <c r="D4" s="7">
        <v>189</v>
      </c>
      <c r="E4" t="inlineStr" s="6">
        <is>
          <t>Owner call</t>
        </is>
      </c>
      <c r="F4" t="inlineStr" s="6">
        <is>
          <t>No</t>
        </is>
      </c>
    </row>
    <row r="5" ht="42" customHeight="1">
      <c r="A5" s="10">
        <v>46180</v>
      </c>
      <c r="B5" t="inlineStr" s="2">
        <is>
          <t>Foundations</t>
        </is>
      </c>
      <c r="C5" t="inlineStr" s="2">
        <is>
          <t>Moved away</t>
        </is>
      </c>
      <c r="D5" s="3">
        <v>99</v>
      </c>
      <c r="E5" t="inlineStr" s="2">
        <is>
          <t>None</t>
        </is>
      </c>
      <c r="F5" t="inlineStr" s="2">
        <is>
          <t>No</t>
        </is>
      </c>
    </row>
    <row r="6" ht="42" customHeight="1">
      <c r="A6" s="11">
        <v>46183</v>
      </c>
      <c r="B6" t="inlineStr" s="6">
        <is>
          <t>Unlimited</t>
        </is>
      </c>
      <c r="C6" t="inlineStr" s="6">
        <is>
          <t>Injury</t>
        </is>
      </c>
      <c r="D6" s="7">
        <v>189</v>
      </c>
      <c r="E6" t="inlineStr" s="6">
        <is>
          <t>Freeze</t>
        </is>
      </c>
      <c r="F6" t="inlineStr" s="6">
        <is>
          <t>Yes</t>
        </is>
      </c>
    </row>
    <row r="7" ht="42" customHeight="1">
      <c r="A7" s="10">
        <v>46185</v>
      </c>
      <c r="B7" t="inlineStr" s="2">
        <is>
          <t>2x Week</t>
        </is>
      </c>
      <c r="C7" t="inlineStr" s="2">
        <is>
          <t>Price</t>
        </is>
      </c>
      <c r="D7" s="3">
        <v>129</v>
      </c>
      <c r="E7" t="inlineStr" s="2">
        <is>
          <t>Downgrade</t>
        </is>
      </c>
      <c r="F7" t="inlineStr" s="2">
        <is>
          <t>No</t>
        </is>
      </c>
    </row>
  </sheetData>
  <autoFilter ref="A1:F7"/>
  <conditionalFormatting sqref="F2:F200">
    <cfRule type="containsText" operator="containsText" text="Done" dxfId="0" priority="16">
      <formula>NOT(ISERROR(SEARCH("Done",F2)))</formula>
    </cfRule>
    <cfRule type="containsText" operator="containsText" text="Approved" dxfId="0" priority="17">
      <formula>NOT(ISERROR(SEARCH("Approved",F2)))</formula>
    </cfRule>
    <cfRule type="containsText" operator="containsText" text="Open" dxfId="1" priority="18">
      <formula>NOT(ISERROR(SEARCH("Open",F2)))</formula>
    </cfRule>
  </conditionalFormatting>
  <dataValidations count="1">
    <dataValidation type="list" allowBlank="1" sqref="F2:F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Raw Cancellations&amp;R&amp;D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13" customWidth="1"/>
    <col min="2" max="2" width="39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Reason Tag</t>
        </is>
      </c>
      <c r="B1" t="inlineStr" s="1">
        <is>
          <t>Count</t>
        </is>
      </c>
      <c r="C1" t="inlineStr" s="1">
        <is>
          <t>Revenue At Risk</t>
        </is>
      </c>
    </row>
    <row r="2" ht="42" customHeight="1">
      <c r="A2" t="inlineStr" s="6">
        <is>
          <t>Price</t>
        </is>
      </c>
      <c r="B2" s="7">
        <f>COUNTIF('Raw Cancellations'!C:C,A2)</f>
      </c>
      <c r="C2" s="7">
        <f>SUMIF('Raw Cancellations'!C:C,A2,'Raw Cancellations'!D:D)</f>
      </c>
    </row>
    <row r="3" ht="42" customHeight="1">
      <c r="A3" t="inlineStr" s="2">
        <is>
          <t>Schedule</t>
        </is>
      </c>
      <c r="B3" s="4">
        <f>COUNTIF('Raw Cancellations'!C:C,A3)</f>
      </c>
      <c r="C3" s="3">
        <f>SUMIF('Raw Cancellations'!C:C,A3,'Raw Cancellations'!D:D)</f>
      </c>
    </row>
    <row r="4" ht="42" customHeight="1">
      <c r="A4" t="inlineStr" s="6">
        <is>
          <t>Experience</t>
        </is>
      </c>
      <c r="B4" s="8">
        <f>COUNTIF('Raw Cancellations'!C:C,A4)</f>
      </c>
      <c r="C4" s="7">
        <f>SUMIF('Raw Cancellations'!C:C,A4,'Raw Cancellations'!D:D)</f>
      </c>
    </row>
    <row r="5" ht="42" customHeight="1">
      <c r="A5" t="inlineStr" s="2">
        <is>
          <t>Moved away</t>
        </is>
      </c>
      <c r="B5" s="4">
        <f>COUNTIF('Raw Cancellations'!C:C,A5)</f>
      </c>
      <c r="C5" s="3">
        <f>SUMIF('Raw Cancellations'!C:C,A5,'Raw Cancellations'!D:D)</f>
      </c>
    </row>
    <row r="6" ht="42" customHeight="1">
      <c r="A6" t="inlineStr" s="6">
        <is>
          <t>Injury</t>
        </is>
      </c>
      <c r="B6" s="8">
        <f>COUNTIF('Raw Cancellations'!C:C,A6)</f>
      </c>
      <c r="C6" s="7">
        <f>SUMIF('Raw Cancellations'!C:C,A6,'Raw Cancellations'!D:D)</f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Tag Summary&amp;R&amp;D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18" customWidth="1"/>
    <col min="3" max="3" width="55" customWidth="1"/>
    <col min="4" max="4" width="12" customWidth="1"/>
    <col min="5" max="5" width="13" customWidth="1"/>
    <col min="6" max="6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Priority</t>
        </is>
      </c>
      <c r="B1" t="inlineStr" s="1">
        <is>
          <t>Issue</t>
        </is>
      </c>
      <c r="C1" t="inlineStr" s="1">
        <is>
          <t>Action</t>
        </is>
      </c>
      <c r="D1" t="inlineStr" s="1">
        <is>
          <t>Owner</t>
        </is>
      </c>
      <c r="E1" t="inlineStr" s="1">
        <is>
          <t>Due Date</t>
        </is>
      </c>
      <c r="F1" t="inlineStr" s="1">
        <is>
          <t>Status</t>
        </is>
      </c>
    </row>
    <row r="2" ht="42" customHeight="1">
      <c r="A2" s="8">
        <v>1</v>
      </c>
      <c r="B2" t="inlineStr" s="6">
        <is>
          <t>Top churn tag</t>
        </is>
      </c>
      <c r="C2" t="inlineStr" s="6">
        <is>
          <t>Create save script for highest-risk reason</t>
        </is>
      </c>
      <c r="D2" t="inlineStr" s="6">
        <is>
          <t>Owner</t>
        </is>
      </c>
      <c r="E2" s="11">
        <v>46208</v>
      </c>
      <c r="F2" t="inlineStr" s="6">
        <is>
          <t>Open</t>
        </is>
      </c>
    </row>
    <row r="3" ht="42" customHeight="1">
      <c r="A3" s="4">
        <v>2</v>
      </c>
      <c r="B3" t="inlineStr" s="2">
        <is>
          <t>Member feedback</t>
        </is>
      </c>
      <c r="C3" t="inlineStr" s="2">
        <is>
          <t>Call 5 recently cancelled members</t>
        </is>
      </c>
      <c r="D3" t="inlineStr" s="2">
        <is>
          <t>Manager</t>
        </is>
      </c>
      <c r="E3" s="10">
        <v>46215</v>
      </c>
      <c r="F3" t="inlineStr" s="2">
        <is>
          <t>Open</t>
        </is>
      </c>
    </row>
    <row r="4" ht="42" customHeight="1">
      <c r="A4" s="8">
        <v>3</v>
      </c>
      <c r="B4" t="inlineStr" s="6">
        <is>
          <t>Class timing</t>
        </is>
      </c>
      <c r="C4" t="inlineStr" s="6">
        <is>
          <t>Compare cancelled members against attendance windows</t>
        </is>
      </c>
      <c r="D4" t="inlineStr" s="6">
        <is>
          <t>Coach</t>
        </is>
      </c>
      <c r="E4" s="11">
        <v>46222</v>
      </c>
      <c r="F4" t="inlineStr" s="6">
        <is>
          <t>Open</t>
        </is>
      </c>
    </row>
  </sheetData>
  <conditionalFormatting sqref="F2:F200">
    <cfRule type="containsText" operator="containsText" text="Done" dxfId="0" priority="16">
      <formula>NOT(ISERROR(SEARCH("Done",F2)))</formula>
    </cfRule>
    <cfRule type="containsText" operator="containsText" text="Approved" dxfId="0" priority="17">
      <formula>NOT(ISERROR(SEARCH("Approved",F2)))</formula>
    </cfRule>
    <cfRule type="containsText" operator="containsText" text="Open" dxfId="1" priority="18">
      <formula>NOT(ISERROR(SEARCH("Open",F2)))</formula>
    </cfRule>
  </conditionalFormatting>
  <dataValidations count="1">
    <dataValidation type="list" allowBlank="1" sqref="F2:F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Action Plan&amp;R&amp;D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26" customWidth="1"/>
    <col min="2" max="2" width="4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Value</t>
        </is>
      </c>
    </row>
    <row r="2" ht="42" customHeight="1">
      <c r="A2" t="inlineStr" s="6">
        <is>
          <t>Total cancellations</t>
        </is>
      </c>
      <c r="B2" s="8">
        <f>COUNTA('Raw Cancellations'!A2:A100)</f>
      </c>
    </row>
    <row r="3" ht="42" customHeight="1">
      <c r="A3" t="inlineStr" s="2">
        <is>
          <t>Saved members</t>
        </is>
      </c>
      <c r="B3" s="4">
        <f>COUNTIF('Raw Cancellations'!F:F,"Yes")</f>
      </c>
    </row>
    <row r="4" ht="42" customHeight="1">
      <c r="A4" t="inlineStr" s="6">
        <is>
          <t>Save rate</t>
        </is>
      </c>
      <c r="B4" s="9">
        <f>IF(B2=0,"",B3/B2)</f>
      </c>
    </row>
    <row r="5" ht="42" customHeight="1">
      <c r="A5" t="inlineStr" s="2">
        <is>
          <t>Revenue at risk</t>
        </is>
      </c>
      <c r="B5" s="3">
        <f>SUM('Raw Cancellations'!D2:D100)</f>
      </c>
    </row>
    <row r="6" ht="42" customHeight="1">
      <c r="A6" t="inlineStr" s="6">
        <is>
          <t>Top controllable reason</t>
        </is>
      </c>
      <c r="B6" t="inlineStr" s="6">
        <is>
          <t>Review Tag Summary</t>
        </is>
      </c>
    </row>
    <row r="7" ht="42" customHeight="1">
      <c r="A7" t="inlineStr" s="2">
        <is>
          <t>Next review date</t>
        </is>
      </c>
      <c r="B7" t="inlineStr" s="2">
        <is>
          <t>Enter date</t>
        </is>
      </c>
    </row>
  </sheetData>
  <pageMargins left="0.45" right="0.45" top="0.6" bottom="0.6" header="0.3" footer="0.3"/>
  <pageSetup orientation="landscape" fitToWidth="1" fitToHeight="0"/>
  <headerFooter>
    <oddHeader>&amp;LSide Hustle Stephen - Dashboard&amp;R&amp;D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25" customWidth="1"/>
    <col min="2" max="2" width="12" customWidth="1"/>
    <col min="3" max="3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Topic</t>
        </is>
      </c>
      <c r="B1" t="inlineStr" s="1">
        <is>
          <t>Notes</t>
        </is>
      </c>
      <c r="C1" t="inlineStr" s="1">
        <is>
          <t>Decision</t>
        </is>
      </c>
    </row>
    <row r="2" ht="42" customHeight="1">
      <c r="A2" t="inlineStr" s="6">
        <is>
          <t>Top churn reason</t>
        </is>
      </c>
      <c r="B2" t="inlineStr" s="6">
        <is>
          <t/>
        </is>
      </c>
      <c r="C2" t="inlineStr" s="6">
        <is>
          <t/>
        </is>
      </c>
    </row>
    <row r="3" ht="42" customHeight="1">
      <c r="A3" t="inlineStr" s="2">
        <is>
          <t>Save offer performance</t>
        </is>
      </c>
      <c r="B3" t="inlineStr" s="2">
        <is>
          <t/>
        </is>
      </c>
      <c r="C3" t="inlineStr" s="2">
        <is>
          <t/>
        </is>
      </c>
    </row>
    <row r="4" ht="42" customHeight="1">
      <c r="A4" t="inlineStr" s="6">
        <is>
          <t>Action owner</t>
        </is>
      </c>
      <c r="B4" t="inlineStr" s="6">
        <is>
          <t/>
        </is>
      </c>
      <c r="C4" t="inlineStr" s="6">
        <is>
          <t/>
        </is>
      </c>
    </row>
    <row r="5" ht="42" customHeight="1">
      <c r="A5" t="inlineStr" s="2">
        <is>
          <t>Data quality issue</t>
        </is>
      </c>
      <c r="B5" t="inlineStr" s="2">
        <is>
          <t/>
        </is>
      </c>
      <c r="C5" t="inlineStr" s="2">
        <is>
          <t/>
        </is>
      </c>
    </row>
  </sheetData>
  <autoFilter ref="A1:C5"/>
  <pageMargins left="0.45" right="0.45" top="0.6" bottom="0.6" header="0.3" footer="0.3"/>
  <pageSetup orientation="landscape" fitToWidth="1" fitToHeight="0"/>
  <headerFooter>
    <oddHeader>&amp;LSide Hustle Stephen - Call Notes&amp;R&amp;D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Churn Report Template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Treat price objections differently from schedule objections; the owner should not discount when the real issue is timetable fit.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Separate life-event churn from controllable churn before assigning actions.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Use the save rate as a coaching metric, not a vanity metric.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The monthly call should end with three owner-assigned actions max.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