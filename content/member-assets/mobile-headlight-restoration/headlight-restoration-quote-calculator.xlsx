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Dealer Batch" sheetId="5" r:id="rId5"/>
    <sheet name="Job Profit Check" sheetId="6" r:id="rId6"/>
    <sheet name="Client Inputs" sheetId="7" r:id="rId7"/>
    <sheet name="Job Log" sheetId="8" r:id="rId8"/>
    <sheet name="Proposal Copy" sheetId="9" r:id="rId9"/>
    <sheet name="Worked Example" sheetId="10" r:id="rId10"/>
    <sheet name="Delivery &amp; QA" sheetId="11" r:id="rId11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Headlight Restoration Quote Calculator</t>
        </is>
      </c>
    </row>
    <row r="3" ht="42" customHeight="1">
      <c r="A3" t="inlineStr" s="2">
        <is>
          <t>Pack</t>
        </is>
      </c>
      <c r="B3" t="inlineStr" s="2">
        <is>
          <t>Mobile Headlight Restoration</t>
        </is>
      </c>
    </row>
    <row r="4" ht="42" customHeight="1">
      <c r="A4" t="inlineStr" s="6">
        <is>
          <t>What this is</t>
        </is>
      </c>
      <c r="B4" t="inlineStr" s="6">
        <is>
          <t>Single-car, two-car, dealer batch, add-on, travel, material cost, and profit-check pricing workbook.</t>
        </is>
      </c>
    </row>
    <row r="5" ht="42" customHeight="1">
      <c r="A5" t="inlineStr" s="2">
        <is>
          <t>Buyer</t>
        </is>
      </c>
      <c r="B5" t="inlineStr" s="2">
        <is>
          <t>Car owners, used-car sellers, landlords with fleets, and local dealers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$51-$150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Easy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a package based on lens condition, car count, travel, weather window, and workspace access.</t>
        </is>
      </c>
    </row>
    <row r="3" ht="42" customHeight="1">
      <c r="A3" s="4">
        <v>2</v>
      </c>
      <c r="B3" t="inlineStr" s="2">
        <is>
          <t>Use Quote Builder for one booking. Edit only the input values in column B.</t>
        </is>
      </c>
    </row>
    <row r="4" ht="42" customHeight="1">
      <c r="A4" s="8">
        <v>3</v>
      </c>
      <c r="B4" t="inlineStr" s="6">
        <is>
          <t>Use Dealer Batch when 3+ restorable cars are at one location.</t>
        </is>
      </c>
    </row>
    <row r="5" ht="42" customHeight="1">
      <c r="A5" s="4">
        <v>4</v>
      </c>
      <c r="B5" t="inlineStr" s="2">
        <is>
          <t>Keep pricing language honest: restoration may improve appearance and clarity, but does not guarantee like-new lights, compliance, or permanence.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3" customWidth="1"/>
    <col min="2" max="2" width="47" customWidth="1"/>
    <col min="3" max="3" width="12" customWidth="1"/>
    <col min="4" max="4" width="41" customWidth="1"/>
    <col min="5" max="5" width="3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Proof Car</t>
        </is>
      </c>
      <c r="B2" t="inlineStr" s="6">
        <is>
          <t>One permissioned car + before/after photos</t>
        </is>
      </c>
      <c r="C2" s="7">
        <v>0</v>
      </c>
      <c r="D2" t="inlineStr" s="6">
        <is>
          <t>Portfolio sample</t>
        </is>
      </c>
      <c r="E2" t="inlineStr" s="6">
        <is>
          <t>Use selectively, not as free labour</t>
        </is>
      </c>
    </row>
    <row r="3" ht="42" customHeight="1">
      <c r="A3" t="inlineStr" s="2">
        <is>
          <t>Single-Car Pair</t>
        </is>
      </c>
      <c r="B3" t="inlineStr" s="2">
        <is>
          <t>Two plastic headlights restored + UV sealant</t>
        </is>
      </c>
      <c r="C3" s="3">
        <v>119</v>
      </c>
      <c r="D3" t="inlineStr" s="2">
        <is>
          <t>Most private owners</t>
        </is>
      </c>
      <c r="E3" t="inlineStr" s="2">
        <is>
          <t>Core offer</t>
        </is>
      </c>
    </row>
    <row r="4" ht="42" customHeight="1">
      <c r="A4" t="inlineStr" s="6">
        <is>
          <t>One Headlight Only</t>
        </is>
      </c>
      <c r="B4" t="inlineStr" s="6">
        <is>
          <t>Single lens restoration</t>
        </is>
      </c>
      <c r="C4" s="7">
        <v>79</v>
      </c>
      <c r="D4" t="inlineStr" s="6">
        <is>
          <t>Partial damage or replacement mismatch</t>
        </is>
      </c>
      <c r="E4" t="inlineStr" s="6">
        <is>
          <t>Quote only when sensible</t>
        </is>
      </c>
    </row>
    <row r="5" ht="42" customHeight="1">
      <c r="A5" t="inlineStr" s="2">
        <is>
          <t>Two-Car Household</t>
        </is>
      </c>
      <c r="B5" t="inlineStr" s="2">
        <is>
          <t>Two cars same address</t>
        </is>
      </c>
      <c r="C5" s="3">
        <v>219</v>
      </c>
      <c r="D5" t="inlineStr" s="2">
        <is>
          <t>Families and neighbours</t>
        </is>
      </c>
      <c r="E5" t="inlineStr" s="2">
        <is>
          <t>Shared setup and travel</t>
        </is>
      </c>
    </row>
    <row r="6" ht="42" customHeight="1">
      <c r="A6" t="inlineStr" s="6">
        <is>
          <t>Used-Car Seller Prep</t>
        </is>
      </c>
      <c r="B6" t="inlineStr" s="6">
        <is>
          <t>Headlights + listing photo proof</t>
        </is>
      </c>
      <c r="C6" s="7">
        <v>149</v>
      </c>
      <c r="D6" t="inlineStr" s="6">
        <is>
          <t>Private sellers</t>
        </is>
      </c>
      <c r="E6" t="inlineStr" s="6">
        <is>
          <t>No sale-price claims</t>
        </is>
      </c>
    </row>
    <row r="7" ht="42" customHeight="1">
      <c r="A7" t="inlineStr" s="2">
        <is>
          <t>Dealer Batch</t>
        </is>
      </c>
      <c r="B7" t="inlineStr" s="2">
        <is>
          <t>3+ cars at same site</t>
        </is>
      </c>
      <c r="C7" s="3">
        <v>79</v>
      </c>
      <c r="D7" t="inlineStr" s="2">
        <is>
          <t>Small dealers and fleets</t>
        </is>
      </c>
      <c r="E7" t="inlineStr" s="2">
        <is>
          <t>Per-car rate, restorable lenses only</t>
        </is>
      </c>
    </row>
  </sheetData>
  <autoFilter ref="A1:E7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29" customWidth="1"/>
    <col min="2" max="2" width="23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single-car price</t>
        </is>
      </c>
      <c r="B2" s="7">
        <v>119</v>
      </c>
    </row>
    <row r="3" ht="42" customHeight="1">
      <c r="A3" t="inlineStr" s="2">
        <is>
          <t>Travel/setup fee</t>
        </is>
      </c>
      <c r="B3" s="3">
        <v>25</v>
      </c>
    </row>
    <row r="4" ht="42" customHeight="1">
      <c r="A4" t="inlineStr" s="6">
        <is>
          <t>Lens condition surcharge</t>
        </is>
      </c>
      <c r="B4" s="8">
        <v>20</v>
      </c>
    </row>
    <row r="5" ht="42" customHeight="1">
      <c r="A5" t="inlineStr" s="2">
        <is>
          <t>Extra cars at same address</t>
        </is>
      </c>
      <c r="B5" s="4">
        <v>1</v>
      </c>
    </row>
    <row r="6" ht="42" customHeight="1">
      <c r="A6" t="inlineStr" s="6">
        <is>
          <t>Price per extra car</t>
        </is>
      </c>
      <c r="B6" s="7">
        <v>95</v>
      </c>
    </row>
    <row r="7" ht="42" customHeight="1">
      <c r="A7" t="inlineStr" s="2">
        <is>
          <t>Dealer/fleet discount</t>
        </is>
      </c>
      <c r="B7" s="4">
        <v>20</v>
      </c>
    </row>
    <row r="8" ht="42" customHeight="1">
      <c r="A8" t="inlineStr" s="6">
        <is>
          <t>Materials cost per car</t>
        </is>
      </c>
      <c r="B8" s="7">
        <v>12</v>
      </c>
    </row>
    <row r="9" ht="42" customHeight="1">
      <c r="A9" t="inlineStr" s="2">
        <is>
          <t>Estimated quote</t>
        </is>
      </c>
      <c r="B9" s="3">
        <f>B2+B3+B4+(B5*B6)-B7</f>
      </c>
    </row>
    <row r="10" ht="42" customHeight="1">
      <c r="A10" t="inlineStr" s="6">
        <is>
          <t>Deposit due at 30%</t>
        </is>
      </c>
      <c r="B10" s="7">
        <f>B9*0.3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15" customWidth="1"/>
    <col min="3" max="3" width="20" customWidth="1"/>
    <col min="4" max="4" width="27" customWidth="1"/>
    <col min="5" max="5" width="33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Car Count</t>
        </is>
      </c>
      <c r="B1" t="inlineStr" s="1">
        <is>
          <t>Per-Car Rate</t>
        </is>
      </c>
      <c r="C1" t="inlineStr" s="1">
        <is>
          <t>Estimated Revenue</t>
        </is>
      </c>
      <c r="D1" t="inlineStr" s="1">
        <is>
          <t>Best Condition</t>
        </is>
      </c>
      <c r="E1" t="inlineStr" s="1">
        <is>
          <t>Notes</t>
        </is>
      </c>
    </row>
    <row r="2" ht="42" customHeight="1">
      <c r="A2" s="8">
        <v>3</v>
      </c>
      <c r="B2" s="9">
        <v>89</v>
      </c>
      <c r="C2" s="7">
        <f>A2*B2</f>
      </c>
      <c r="D2" t="inlineStr" s="6">
        <is>
          <t>Light/moderate haze</t>
        </is>
      </c>
      <c r="E2" t="inlineStr" s="6">
        <is>
          <t>Half-morning slot</t>
        </is>
      </c>
    </row>
    <row r="3" ht="42" customHeight="1">
      <c r="A3" s="4">
        <v>5</v>
      </c>
      <c r="B3" s="5">
        <v>79</v>
      </c>
      <c r="C3" s="3">
        <f>A3*B3</f>
      </c>
      <c r="D3" t="inlineStr" s="2">
        <is>
          <t>Mostly similar condition</t>
        </is>
      </c>
      <c r="E3" t="inlineStr" s="2">
        <is>
          <t>Needs shaded workspace</t>
        </is>
      </c>
    </row>
    <row r="4" ht="42" customHeight="1">
      <c r="A4" s="8">
        <v>8</v>
      </c>
      <c r="B4" s="9">
        <v>69</v>
      </c>
      <c r="C4" s="7">
        <f>A4*B4</f>
      </c>
      <c r="D4" t="inlineStr" s="6">
        <is>
          <t>Quick batch candidates</t>
        </is>
      </c>
      <c r="E4" t="inlineStr" s="6">
        <is>
          <t>Reject cracked/moisture lenses</t>
        </is>
      </c>
    </row>
  </sheetData>
  <pageMargins left="0.45" right="0.45" top="0.6" bottom="0.6" header="0.3" footer="0.3"/>
  <pageSetup orientation="landscape" fitToWidth="1" fitToHeight="0"/>
  <headerFooter>
    <oddHeader>&amp;LSide Hustle Stephen - Dealer Batch&amp;R&amp;D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18" customWidth="1"/>
    <col min="2" max="2" width="45" customWidth="1"/>
    <col min="3" max="3" width="53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Builder'!B9</f>
      </c>
      <c r="C2" t="inlineStr" s="6">
        <is>
          <t>From quote builder</t>
        </is>
      </c>
    </row>
    <row r="3" ht="42" customHeight="1">
      <c r="A3" t="inlineStr" s="2">
        <is>
          <t>Materials</t>
        </is>
      </c>
      <c r="B3" s="4">
        <f>'Quote Builder'!B8*(1+'Quote Builder'!B5)</f>
      </c>
      <c r="C3" t="inlineStr" s="2">
        <is>
          <t>Use actual consumables</t>
        </is>
      </c>
    </row>
    <row r="4" ht="42" customHeight="1">
      <c r="A4" t="inlineStr" s="6">
        <is>
          <t>Fuel/transport</t>
        </is>
      </c>
      <c r="B4" s="8">
        <v>15</v>
      </c>
      <c r="C4" t="inlineStr" s="6">
        <is>
          <t>Use actual</t>
        </is>
      </c>
    </row>
    <row r="5" ht="42" customHeight="1">
      <c r="A5" t="inlineStr" s="2">
        <is>
          <t>Total hard cost</t>
        </is>
      </c>
      <c r="B5" s="3">
        <f>B3+B4</f>
      </c>
      <c r="C5" t="inlineStr" s="2">
        <is>
          <t/>
        </is>
      </c>
    </row>
    <row r="6" ht="42" customHeight="1">
      <c r="A6" t="inlineStr" s="6">
        <is>
          <t>Gross margin</t>
        </is>
      </c>
      <c r="B6" s="8">
        <f>B2-B5</f>
      </c>
      <c r="C6" t="inlineStr" s="6">
        <is>
          <t/>
        </is>
      </c>
    </row>
    <row r="7" ht="42" customHeight="1">
      <c r="A7" t="inlineStr" s="2">
        <is>
          <t>Job hours</t>
        </is>
      </c>
      <c r="B7" s="4">
        <v>1.5</v>
      </c>
      <c r="C7" t="inlineStr" s="2">
        <is>
          <t>Travel, masking, sanding, polish, sealant, handoff</t>
        </is>
      </c>
    </row>
    <row r="8" ht="42" customHeight="1">
      <c r="A8" t="inlineStr" s="6">
        <is>
          <t>Hourly gross</t>
        </is>
      </c>
      <c r="B8" s="8">
        <f>IF(B7=0,"",B6/B7)</f>
      </c>
      <c r="C8" t="inlineStr" s="6">
        <is>
          <t/>
        </is>
      </c>
    </row>
  </sheetData>
  <autoFilter ref="A1:C8"/>
  <pageMargins left="0.45" right="0.45" top="0.6" bottom="0.6" header="0.3" footer="0.3"/>
  <pageSetup orientation="landscape" fitToWidth="1" fitToHeight="0"/>
  <headerFooter>
    <oddHeader>&amp;LSide Hustle Stephen - Job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58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Car make/model/year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Photos of both headlights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Any cracks, moisture, previous restoration, or replacement history</t>
        </is>
      </c>
      <c r="B4" t="inlineStr" s="6">
        <is>
          <t>Client</t>
        </is>
      </c>
      <c r="C4" t="inlineStr" s="6">
        <is>
          <t>Yes</t>
        </is>
      </c>
      <c r="D4" t="inlineStr" s="6">
        <is>
          <t>Open</t>
        </is>
      </c>
    </row>
    <row r="5" ht="42" customHeight="1">
      <c r="A5" t="inlineStr" s="2">
        <is>
          <t>Location and shaded workspace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Weather window and car access</t>
        </is>
      </c>
      <c r="B6" t="inlineStr" s="6">
        <is>
          <t>Client</t>
        </is>
      </c>
      <c r="C6" t="inlineStr" s="6">
        <is>
          <t>Yes</t>
        </is>
      </c>
      <c r="D6" t="inlineStr" s="6">
        <is>
          <t>Open</t>
        </is>
      </c>
    </row>
    <row r="7" ht="42" customHeight="1">
      <c r="A7" t="inlineStr" s="2">
        <is>
          <t>Permission for before/after photos</t>
        </is>
      </c>
      <c r="B7" t="inlineStr" s="2">
        <is>
          <t>Client</t>
        </is>
      </c>
      <c r="C7" t="inlineStr" s="2">
        <is>
          <t>No</t>
        </is>
      </c>
      <c r="D7" t="inlineStr" s="2">
        <is>
          <t>Open</t>
        </is>
      </c>
    </row>
  </sheetData>
  <autoFilter ref="A1:D7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16" customWidth="1"/>
    <col min="2" max="2" width="17" customWidth="1"/>
    <col min="3" max="3" width="17" customWidth="1"/>
    <col min="4" max="4" width="14" customWidth="1"/>
    <col min="5" max="5" width="16" customWidth="1"/>
    <col min="6" max="6" width="18" customWidth="1"/>
    <col min="7" max="7" width="30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Job</t>
        </is>
      </c>
      <c r="B1" t="inlineStr" s="1">
        <is>
          <t>Before photos?</t>
        </is>
      </c>
      <c r="C1" t="inlineStr" s="1">
        <is>
          <t>Lens condition</t>
        </is>
      </c>
      <c r="D1" t="inlineStr" s="1">
        <is>
          <t>UV sealant?</t>
        </is>
      </c>
      <c r="E1" t="inlineStr" s="1">
        <is>
          <t>After photos?</t>
        </is>
      </c>
      <c r="F1" t="inlineStr" s="1">
        <is>
          <t>Referral asked?</t>
        </is>
      </c>
      <c r="G1" t="inlineStr" s="1">
        <is>
          <t>Limitations</t>
        </is>
      </c>
    </row>
    <row r="2" ht="42" customHeight="1">
      <c r="A2" t="inlineStr" s="6">
        <is>
          <t>Example sedan</t>
        </is>
      </c>
      <c r="B2" t="inlineStr" s="6">
        <is>
          <t>Yes</t>
        </is>
      </c>
      <c r="C2" t="inlineStr" s="6">
        <is>
          <t>Moderate haze</t>
        </is>
      </c>
      <c r="D2" t="inlineStr" s="6">
        <is>
          <t>Yes</t>
        </is>
      </c>
      <c r="E2" t="inlineStr" s="6">
        <is>
          <t>Yes</t>
        </is>
      </c>
      <c r="F2" t="inlineStr" s="6">
        <is>
          <t>Yes</t>
        </is>
      </c>
      <c r="G2" t="inlineStr" s="6">
        <is>
          <t>Tiny internal mark remained</t>
        </is>
      </c>
    </row>
    <row r="3" ht="42" customHeight="1">
      <c r="A3" t="inlineStr" s="2">
        <is>
          <t/>
        </is>
      </c>
      <c r="B3" t="inlineStr" s="2">
        <is>
          <t/>
        </is>
      </c>
      <c r="C3" t="inlineStr" s="2">
        <is>
          <t/>
        </is>
      </c>
      <c r="D3" t="inlineStr" s="2">
        <is>
          <t/>
        </is>
      </c>
      <c r="E3" t="inlineStr" s="2">
        <is>
          <t/>
        </is>
      </c>
      <c r="F3" t="inlineStr" s="2">
        <is>
          <t/>
        </is>
      </c>
      <c r="G3" t="inlineStr" s="2">
        <is>
          <t/>
        </is>
      </c>
    </row>
    <row r="4" ht="42" customHeight="1">
      <c r="A4" t="inlineStr" s="6">
        <is>
          <t/>
        </is>
      </c>
      <c r="B4" t="inlineStr" s="6">
        <is>
          <t/>
        </is>
      </c>
      <c r="C4" t="inlineStr" s="6">
        <is>
          <t/>
        </is>
      </c>
      <c r="D4" t="inlineStr" s="6">
        <is>
          <t/>
        </is>
      </c>
      <c r="E4" t="inlineStr" s="6">
        <is>
          <t/>
        </is>
      </c>
      <c r="F4" t="inlineStr" s="6">
        <is>
          <t/>
        </is>
      </c>
      <c r="G4" t="inlineStr" s="6">
        <is>
          <t/>
        </is>
      </c>
    </row>
  </sheetData>
  <pageMargins left="0.45" right="0.45" top="0.6" bottom="0.6" header="0.3" footer="0.3"/>
  <pageSetup orientation="landscape" fitToWidth="1" fitToHeight="0"/>
  <headerFooter>
    <oddHeader>&amp;LSide Hustle Stephen - Job Log&amp;R&amp;D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restore the agreed plastic headlights using cleaning, masking, sanding, polishing, UV protection, and before/after photos.</t>
        </is>
      </c>
    </row>
    <row r="3" ht="42" customHeight="1">
      <c r="A3" t="inlineStr" s="2">
        <is>
          <t>Boundary</t>
        </is>
      </c>
      <c r="B3" t="inlineStr" s="2">
        <is>
          <t>Results depend on lens condition. Cracks, internal moisture, severe crazing, broken lenses, and electrical issues may require replacement or a qualified mechanic.</t>
        </is>
      </c>
    </row>
    <row r="4" ht="42" customHeight="1">
      <c r="A4" t="inlineStr" s="6">
        <is>
          <t>Approval</t>
        </is>
      </c>
      <c r="B4" t="inlineStr" s="6">
        <is>
          <t>You confirm lens photos, access, weather window, expectations, and whether I may use before/after photos.</t>
        </is>
      </c>
    </row>
    <row r="5" ht="42" customHeight="1">
      <c r="A5" t="inlineStr" s="2">
        <is>
          <t>Not included</t>
        </is>
      </c>
      <c r="B5" t="inlineStr" s="2">
        <is>
          <t>Roadworthy certification, legal compliance, permanent restoration, electrical work, bulb replacement, lens replacement, and paint repair are not included.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10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Headlight Restoration Quote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Replace with the buyer's visible problem.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Choose the highest-confidence next step.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Mark facts, claims, and prices that need approval.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Convert the first delivery into a retainer or next sprint.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11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