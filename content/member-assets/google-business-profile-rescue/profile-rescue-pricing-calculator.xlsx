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Pricing Ladder" sheetId="3" r:id="rId3"/>
    <sheet name="Quote Builder" sheetId="4" r:id="rId4"/>
    <sheet name="Scope Guardrails" sheetId="5" r:id="rId5"/>
    <sheet name="Profit Check" sheetId="6" r:id="rId6"/>
    <sheet name="Proposal Copy" sheetId="7" r:id="rId7"/>
    <sheet name="Worked Example" sheetId="8" r:id="rId8"/>
    <sheet name="Delivery &amp; QA" sheetId="9" r:id="rId9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Profile Rescue Pricing Calculator</t>
        </is>
      </c>
    </row>
    <row r="3" ht="42" customHeight="1">
      <c r="A3" t="inlineStr" s="2">
        <is>
          <t>Pack</t>
        </is>
      </c>
      <c r="B3" t="inlineStr" s="2">
        <is>
          <t>Google Business Profile Rescue</t>
        </is>
      </c>
    </row>
    <row r="4" ht="42" customHeight="1">
      <c r="A4" t="inlineStr" s="6">
        <is>
          <t>What this is</t>
        </is>
      </c>
      <c r="B4" t="inlineStr" s="6">
        <is>
          <t>Mini audit, rescue sprint, and monthly hygiene pricing with quote builder and scope guardrails.</t>
        </is>
      </c>
    </row>
    <row r="5" ht="42" customHeight="1">
      <c r="A5" t="inlineStr" s="2">
        <is>
          <t>Buyer</t>
        </is>
      </c>
      <c r="B5" t="inlineStr" s="2">
        <is>
          <t>Local service businesses</t>
        </is>
      </c>
    </row>
    <row r="6" ht="42" customHeight="1">
      <c r="A6" t="inlineStr" s="6">
        <is>
          <t>Category</t>
        </is>
      </c>
      <c r="B6" t="inlineStr" s="6">
        <is>
          <t>Local Service</t>
        </is>
      </c>
    </row>
    <row r="7" ht="42" customHeight="1">
      <c r="A7" t="inlineStr" s="2">
        <is>
          <t>Startup cost</t>
        </is>
      </c>
      <c r="B7" t="inlineStr" s="2">
        <is>
          <t>$0</t>
        </is>
      </c>
    </row>
    <row r="8" ht="42" customHeight="1">
      <c r="A8" t="inlineStr" s="6">
        <is>
          <t>Time to first sale</t>
        </is>
      </c>
      <c r="B8" t="inlineStr" s="6">
        <is>
          <t>1-7 days</t>
        </is>
      </c>
    </row>
    <row r="9" ht="42" customHeight="1">
      <c r="A9" t="inlineStr" s="2">
        <is>
          <t>Difficulty</t>
        </is>
      </c>
      <c r="B9" t="inlineStr" s="2">
        <is>
          <t>Easy</t>
        </is>
      </c>
    </row>
    <row r="10" ht="42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8">
        <v>1</v>
      </c>
      <c r="B2" t="inlineStr" s="6">
        <is>
          <t>Choose the starter package based on visible public profile gaps and owner approval complexity.</t>
        </is>
      </c>
    </row>
    <row r="3" ht="42" customHeight="1">
      <c r="A3" s="4">
        <v>2</v>
      </c>
      <c r="B3" t="inlineStr" s="2">
        <is>
          <t>Use Quote Builder for one business. Edit only the input values in column B.</t>
        </is>
      </c>
    </row>
    <row r="4" ht="42" customHeight="1">
      <c r="A4" s="8">
        <v>3</v>
      </c>
      <c r="B4" t="inlineStr" s="6">
        <is>
          <t>Use Scope Guardrails before sending a proposal so the offer stays profile hygiene, not SEO guarantees.</t>
        </is>
      </c>
    </row>
    <row r="5" ht="42" customHeight="1">
      <c r="A5" s="4">
        <v>4</v>
      </c>
      <c r="B5" t="inlineStr" s="2">
        <is>
          <t>Use Monthly Hygiene only when the business has recurring profile changes or review-response needs.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6" customWidth="1"/>
    <col min="2" max="2" width="58" customWidth="1"/>
    <col min="3" max="3" width="12" customWidth="1"/>
    <col min="4" max="4" width="37" customWidth="1"/>
    <col min="5" max="5" width="31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Package</t>
        </is>
      </c>
      <c r="B1" t="inlineStr" s="1">
        <is>
          <t>Deliverables</t>
        </is>
      </c>
      <c r="C1" t="inlineStr" s="1">
        <is>
          <t>Price</t>
        </is>
      </c>
      <c r="D1" t="inlineStr" s="1">
        <is>
          <t>Best For</t>
        </is>
      </c>
      <c r="E1" t="inlineStr" s="1">
        <is>
          <t>Notes</t>
        </is>
      </c>
    </row>
    <row r="2" ht="42" customHeight="1">
      <c r="A2" t="inlineStr" s="6">
        <is>
          <t>Mini Rescue Audit</t>
        </is>
      </c>
      <c r="B2" t="inlineStr" s="6">
        <is>
          <t>3-point audit, screenshots, one service or FAQ copy sample</t>
        </is>
      </c>
      <c r="C2" s="7">
        <v>149</v>
      </c>
      <c r="D2" t="inlineStr" s="6">
        <is>
          <t>Cold outreach first sale</t>
        </is>
      </c>
      <c r="E2" t="inlineStr" s="6">
        <is>
          <t>No profile access required</t>
        </is>
      </c>
    </row>
    <row r="3" ht="42" customHeight="1">
      <c r="A3" t="inlineStr" s="2">
        <is>
          <t>Profile Rescue Sprint</t>
        </is>
      </c>
      <c r="B3" t="inlineStr" s="2">
        <is>
          <t>Services, FAQs, hours/photo checklist, review-request wording, approval notes</t>
        </is>
      </c>
      <c r="C3" s="3">
        <v>450</v>
      </c>
      <c r="D3" t="inlineStr" s="2">
        <is>
          <t>Most local service businesses</t>
        </is>
      </c>
      <c r="E3" t="inlineStr" s="2">
        <is>
          <t>Core offer</t>
        </is>
      </c>
    </row>
    <row r="4" ht="42" customHeight="1">
      <c r="A4" t="inlineStr" s="6">
        <is>
          <t>Multi-Service Cleanup</t>
        </is>
      </c>
      <c r="B4" t="inlineStr" s="6">
        <is>
          <t>Sprint plus extra service descriptions and FAQ set</t>
        </is>
      </c>
      <c r="C4" s="7">
        <v>700</v>
      </c>
      <c r="D4" t="inlineStr" s="6">
        <is>
          <t>Businesses with many service lines</t>
        </is>
      </c>
      <c r="E4" t="inlineStr" s="6">
        <is>
          <t>Raise price for messy inputs</t>
        </is>
      </c>
    </row>
    <row r="5" ht="42" customHeight="1">
      <c r="A5" t="inlineStr" s="2">
        <is>
          <t>Monthly Profile Hygiene</t>
        </is>
      </c>
      <c r="B5" t="inlineStr" s="2">
        <is>
          <t>Monthly check for hours, photos, services, FAQs, review replies, and seasonal updates</t>
        </is>
      </c>
      <c r="C5" s="3">
        <v>225</v>
      </c>
      <c r="D5" t="inlineStr" s="2">
        <is>
          <t>Ongoing maintenance</t>
        </is>
      </c>
      <c r="E5" t="inlineStr" s="2">
        <is>
          <t>Fixed monthly cadence</t>
        </is>
      </c>
    </row>
    <row r="6" ht="42" customHeight="1">
      <c r="A6" t="inlineStr" s="6">
        <is>
          <t>Extra Location Add-On</t>
        </is>
      </c>
      <c r="B6" t="inlineStr" s="6">
        <is>
          <t>Repeat audit and cleanup for one extra location</t>
        </is>
      </c>
      <c r="C6" s="7">
        <v>175</v>
      </c>
      <c r="D6" t="inlineStr" s="6">
        <is>
          <t>Small multi-location operators</t>
        </is>
      </c>
      <c r="E6" t="inlineStr" s="6">
        <is>
          <t>Per location</t>
        </is>
      </c>
    </row>
  </sheetData>
  <autoFilter ref="A1:E6"/>
  <pageMargins left="0.45" right="0.45" top="0.6" bottom="0.6" header="0.3" footer="0.3"/>
  <pageSetup orientation="landscape" fitToWidth="1" fitToHeight="0"/>
  <headerFooter>
    <oddHeader>&amp;LSide Hustle Stephen - Pricing Ladder&amp;R&amp;D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39" customWidth="1"/>
    <col min="2" max="2" width="49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6">
        <is>
          <t>Base sprint price</t>
        </is>
      </c>
      <c r="B2" s="7">
        <v>450</v>
      </c>
    </row>
    <row r="3" ht="42" customHeight="1">
      <c r="A3" t="inlineStr" s="2">
        <is>
          <t>Extra service descriptions requested</t>
        </is>
      </c>
      <c r="B3" s="4">
        <v>6</v>
      </c>
    </row>
    <row r="4" ht="42" customHeight="1">
      <c r="A4" t="inlineStr" s="6">
        <is>
          <t>Service descriptions included</t>
        </is>
      </c>
      <c r="B4" s="8">
        <v>3</v>
      </c>
    </row>
    <row r="5" ht="42" customHeight="1">
      <c r="A5" t="inlineStr" s="2">
        <is>
          <t>Price per extra service</t>
        </is>
      </c>
      <c r="B5" s="3">
        <v>35</v>
      </c>
    </row>
    <row r="6" ht="42" customHeight="1">
      <c r="A6" t="inlineStr" s="6">
        <is>
          <t>Extra FAQ answers requested</t>
        </is>
      </c>
      <c r="B6" s="8">
        <v>6</v>
      </c>
    </row>
    <row r="7" ht="42" customHeight="1">
      <c r="A7" t="inlineStr" s="2">
        <is>
          <t>FAQ answers included</t>
        </is>
      </c>
      <c r="B7" s="4">
        <v>5</v>
      </c>
    </row>
    <row r="8" ht="42" customHeight="1">
      <c r="A8" t="inlineStr" s="6">
        <is>
          <t>Price per extra FAQ</t>
        </is>
      </c>
      <c r="B8" s="7">
        <v>25</v>
      </c>
    </row>
    <row r="9" ht="42" customHeight="1">
      <c r="A9" t="inlineStr" s="2">
        <is>
          <t>Extra locations</t>
        </is>
      </c>
      <c r="B9" s="4">
        <v>1</v>
      </c>
    </row>
    <row r="10" ht="42" customHeight="1">
      <c r="A10" t="inlineStr" s="6">
        <is>
          <t>Price per extra location</t>
        </is>
      </c>
      <c r="B10" s="7">
        <v>175</v>
      </c>
    </row>
    <row r="11" ht="42" customHeight="1">
      <c r="A11" t="inlineStr" s="2">
        <is>
          <t>Rush fee</t>
        </is>
      </c>
      <c r="B11" s="3">
        <v>75</v>
      </c>
    </row>
    <row r="12" ht="42" customHeight="1">
      <c r="A12" t="inlineStr" s="6">
        <is>
          <t>Estimated quote</t>
        </is>
      </c>
      <c r="B12" s="7">
        <f>B2+MAX(0,B3-B4)*B5+MAX(0,B6-B7)*B8+B9*B10+B11</f>
      </c>
    </row>
    <row r="13" ht="42" customHeight="1">
      <c r="A13" t="inlineStr" s="2">
        <is>
          <t>Deposit due at 50%</t>
        </is>
      </c>
      <c r="B13" s="3">
        <f>B12*0.5</f>
      </c>
    </row>
  </sheetData>
  <pageMargins left="0.45" right="0.45" top="0.6" bottom="0.6" header="0.3" footer="0.3"/>
  <pageSetup orientation="landscape" fitToWidth="1" fitToHeight="0"/>
  <headerFooter>
    <oddHeader>&amp;LSide Hustle Stephen - Quote Builder&amp;R&amp;D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40" customWidth="1"/>
    <col min="2" max="2" width="12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Scope Item</t>
        </is>
      </c>
      <c r="B1" t="inlineStr" s="1">
        <is>
          <t>Included?</t>
        </is>
      </c>
      <c r="C1" t="inlineStr" s="1">
        <is>
          <t>Notes</t>
        </is>
      </c>
    </row>
    <row r="2" ht="42" customHeight="1">
      <c r="A2" t="inlineStr" s="6">
        <is>
          <t>Public profile audit with screenshots</t>
        </is>
      </c>
      <c r="B2" t="inlineStr" s="6">
        <is>
          <t>Yes</t>
        </is>
      </c>
      <c r="C2" t="inlineStr" s="6">
        <is>
          <t>Use visible facts and customer-facing issues</t>
        </is>
      </c>
    </row>
    <row r="3" ht="42" customHeight="1">
      <c r="A3" t="inlineStr" s="2">
        <is>
          <t>Owner-approved service descriptions</t>
        </is>
      </c>
      <c r="B3" t="inlineStr" s="2">
        <is>
          <t>Yes</t>
        </is>
      </c>
      <c r="C3" t="inlineStr" s="2">
        <is>
          <t>Owner confirms wording before use</t>
        </is>
      </c>
    </row>
    <row r="4" ht="42" customHeight="1">
      <c r="A4" t="inlineStr" s="6">
        <is>
          <t>FAQ drafts</t>
        </is>
      </c>
      <c r="B4" t="inlineStr" s="6">
        <is>
          <t>Yes</t>
        </is>
      </c>
      <c r="C4" t="inlineStr" s="6">
        <is>
          <t>Avoid legal, medical, tax, finance, or regulated advice</t>
        </is>
      </c>
    </row>
    <row r="5" ht="42" customHeight="1">
      <c r="A5" t="inlineStr" s="2">
        <is>
          <t>Photo checklist</t>
        </is>
      </c>
      <c r="B5" t="inlineStr" s="2">
        <is>
          <t>Yes</t>
        </is>
      </c>
      <c r="C5" t="inlineStr" s="2">
        <is>
          <t>Recommend photo types, do not source unlicensed images</t>
        </is>
      </c>
    </row>
    <row r="6" ht="42" customHeight="1">
      <c r="A6" t="inlineStr" s="6">
        <is>
          <t>Review-request wording</t>
        </is>
      </c>
      <c r="B6" t="inlineStr" s="6">
        <is>
          <t>Yes</t>
        </is>
      </c>
      <c r="C6" t="inlineStr" s="6">
        <is>
          <t>Ethical request wording only</t>
        </is>
      </c>
    </row>
    <row r="7" ht="42" customHeight="1">
      <c r="A7" t="inlineStr" s="2">
        <is>
          <t>Ranking guarantees</t>
        </is>
      </c>
      <c r="B7" t="inlineStr" s="2">
        <is>
          <t>No</t>
        </is>
      </c>
      <c r="C7" t="inlineStr" s="2">
        <is>
          <t>Never promise map pack placement or call increases</t>
        </is>
      </c>
    </row>
    <row r="8" ht="42" customHeight="1">
      <c r="A8" t="inlineStr" s="6">
        <is>
          <t>Review gating or incentives</t>
        </is>
      </c>
      <c r="B8" t="inlineStr" s="6">
        <is>
          <t>No</t>
        </is>
      </c>
      <c r="C8" t="inlineStr" s="6">
        <is>
          <t>Do not suggest filtering, rewarding, or pressuring reviews</t>
        </is>
      </c>
    </row>
  </sheetData>
  <autoFilter ref="A1:C8"/>
  <pageMargins left="0.45" right="0.45" top="0.6" bottom="0.6" header="0.3" footer="0.3"/>
  <pageSetup orientation="landscape" fitToWidth="1" fitToHeight="0"/>
  <headerFooter>
    <oddHeader>&amp;LSide Hustle Stephen - Scope Guardrails&amp;R&amp;D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23" customWidth="1"/>
    <col min="3" max="3" width="33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Illustrative Value</t>
        </is>
      </c>
      <c r="C1" t="inlineStr" s="1">
        <is>
          <t>Formula/Note</t>
        </is>
      </c>
    </row>
    <row r="2" ht="42" customHeight="1">
      <c r="A2" t="inlineStr" s="6">
        <is>
          <t>Quote</t>
        </is>
      </c>
      <c r="B2" s="7">
        <f>'Quote Builder'!B12</f>
      </c>
      <c r="C2" t="inlineStr" s="6">
        <is>
          <t>From quote builder</t>
        </is>
      </c>
    </row>
    <row r="3" ht="42" customHeight="1">
      <c r="A3" t="inlineStr" s="2">
        <is>
          <t>Audit hours</t>
        </is>
      </c>
      <c r="B3" s="4">
        <v>1.5</v>
      </c>
      <c r="C3" t="inlineStr" s="2">
        <is>
          <t>Profile scan and screenshots</t>
        </is>
      </c>
    </row>
    <row r="4" ht="42" customHeight="1">
      <c r="A4" t="inlineStr" s="6">
        <is>
          <t>Copy hours</t>
        </is>
      </c>
      <c r="B4" s="8">
        <v>2</v>
      </c>
      <c r="C4" t="inlineStr" s="6">
        <is>
          <t>Services, FAQs, review wording</t>
        </is>
      </c>
    </row>
    <row r="5" ht="42" customHeight="1">
      <c r="A5" t="inlineStr" s="2">
        <is>
          <t>Handoff hours</t>
        </is>
      </c>
      <c r="B5" s="4">
        <v>1</v>
      </c>
      <c r="C5" t="inlineStr" s="2">
        <is>
          <t>Approval notes and final pack</t>
        </is>
      </c>
    </row>
    <row r="6" ht="42" customHeight="1">
      <c r="A6" t="inlineStr" s="6">
        <is>
          <t>Total hours</t>
        </is>
      </c>
      <c r="B6" s="8">
        <f>B3+B4+B5</f>
      </c>
      <c r="C6" t="inlineStr" s="6">
        <is>
          <t/>
        </is>
      </c>
    </row>
    <row r="7" ht="42" customHeight="1">
      <c r="A7" t="inlineStr" s="2">
        <is>
          <t>Software/tools</t>
        </is>
      </c>
      <c r="B7" s="4">
        <v>10</v>
      </c>
      <c r="C7" t="inlineStr" s="2">
        <is>
          <t>Use actual costs</t>
        </is>
      </c>
    </row>
    <row r="8" ht="42" customHeight="1">
      <c r="A8" t="inlineStr" s="6">
        <is>
          <t>Gross before time</t>
        </is>
      </c>
      <c r="B8" s="8">
        <f>B2-B7</f>
      </c>
      <c r="C8" t="inlineStr" s="6">
        <is>
          <t/>
        </is>
      </c>
    </row>
    <row r="9" ht="42" customHeight="1">
      <c r="A9" t="inlineStr" s="2">
        <is>
          <t>Hourly gross</t>
        </is>
      </c>
      <c r="B9" s="4">
        <f>IF(B6=0,"",B8/B6)</f>
      </c>
      <c r="C9" t="inlineStr" s="2">
        <is>
          <t/>
        </is>
      </c>
    </row>
  </sheetData>
  <autoFilter ref="A1:C9"/>
  <pageMargins left="0.45" right="0.45" top="0.6" bottom="0.6" header="0.3" footer="0.3"/>
  <pageSetup orientation="landscape" fitToWidth="1" fitToHeight="0"/>
  <headerFooter>
    <oddHeader>&amp;LSide Hustle Stephen - Profit Check&amp;R&amp;D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15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copy</t>
        </is>
      </c>
    </row>
    <row r="2" ht="42" customHeight="1">
      <c r="A2" t="inlineStr" s="6">
        <is>
          <t>Scope</t>
        </is>
      </c>
      <c r="B2" t="inlineStr" s="6">
        <is>
          <t>I will clean up the customer-facing parts of your Google Business Profile: services, FAQs, hours/photo checklist, review-request wording, and approval notes.</t>
        </is>
      </c>
    </row>
    <row r="3" ht="42" customHeight="1">
      <c r="A3" t="inlineStr" s="2">
        <is>
          <t>Boundary</t>
        </is>
      </c>
      <c r="B3" t="inlineStr" s="2">
        <is>
          <t>This is a profile clarity and trust-signal cleanup. It does not guarantee rankings, calls, reviews, or revenue.</t>
        </is>
      </c>
    </row>
    <row r="4" ht="42" customHeight="1">
      <c r="A4" t="inlineStr" s="6">
        <is>
          <t>Approval</t>
        </is>
      </c>
      <c r="B4" t="inlineStr" s="6">
        <is>
          <t>You approve categories, services, hours, service areas, photos, FAQs, and any review-request wording before use.</t>
        </is>
      </c>
    </row>
    <row r="5" ht="42" customHeight="1">
      <c r="A5" t="inlineStr" s="2">
        <is>
          <t>Not included</t>
        </is>
      </c>
      <c r="B5" t="inlineStr" s="2">
        <is>
          <t>SEO campaigns, ads, review gating, legal/compliance advice, photography, website edits, and ongoing management are not included unless scoped separately.</t>
        </is>
      </c>
    </row>
  </sheetData>
  <pageMargins left="0.45" right="0.45" top="0.6" bottom="0.6" header="0.3" footer="0.3"/>
  <pageSetup orientation="landscape" fitToWidth="1" fitToHeight="0"/>
  <headerFooter>
    <oddHeader>&amp;LSide Hustle Stephen - Proposal Copy&amp;R&amp;D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Profile Rescue Pricing Calculator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Mini audits should be cheap enough to buy from a screenshot-led pitch, but still paid so the owner values the work.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The rescue sprint price should rise when there are many services, multiple locations, messy hours, weak photos, or more than one approval owner.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Monthly hygiene only makes sense when the business changes photos, services, opening hours, offers, FAQs, or review-response needs regularly.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Keep the proposal language focused on profile clarity and current information. Do not imply map rankings, call volume, or review growth.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