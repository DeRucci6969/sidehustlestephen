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Retainer Tracker" sheetId="5" r:id="rId5"/>
    <sheet name="Client Inputs" sheetId="6" r:id="rId6"/>
    <sheet name="Proposal Copy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Menu Refresh Pricing Sheet</t>
        </is>
      </c>
    </row>
    <row r="3" ht="42" customHeight="1">
      <c r="A3" t="inlineStr" s="2">
        <is>
          <t>Pack</t>
        </is>
      </c>
      <c r="B3" t="inlineStr" s="2">
        <is>
          <t>Cafe Menu Refresh Package</t>
        </is>
      </c>
    </row>
    <row r="4" ht="42" customHeight="1">
      <c r="A4" t="inlineStr" s="6">
        <is>
          <t>What this is</t>
        </is>
      </c>
      <c r="B4" t="inlineStr" s="6">
        <is>
          <t>Starter, standard, and retainer pricing ladder.</t>
        </is>
      </c>
    </row>
    <row r="5" ht="42" customHeight="1">
      <c r="A5" t="inlineStr" s="2">
        <is>
          <t>Buyer</t>
        </is>
      </c>
      <c r="B5" t="inlineStr" s="2">
        <is>
          <t>Independent cafes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$0-$50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Update the Pricing Ladder with your local market prices and delivery scope.</t>
        </is>
      </c>
    </row>
    <row r="3" ht="42" customHeight="1">
      <c r="A3" s="4">
        <v>2</v>
      </c>
      <c r="B3" t="inlineStr" s="2">
        <is>
          <t>Use Quote Builder for one-off jobs; only edit the input values in column B.</t>
        </is>
      </c>
    </row>
    <row r="4" ht="42" customHeight="1">
      <c r="A4" s="8">
        <v>3</v>
      </c>
      <c r="B4" t="inlineStr" s="6">
        <is>
          <t>Use Retainer Tracker monthly to monitor included refreshes and extra revenue.</t>
        </is>
      </c>
    </row>
    <row r="5" ht="42" customHeight="1">
      <c r="A5" s="4">
        <v>4</v>
      </c>
      <c r="B5" t="inlineStr" s="2">
        <is>
          <t>Send Client Inputs to the owner before starting work.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4" customWidth="1"/>
    <col min="2" max="2" width="58" customWidth="1"/>
    <col min="3" max="3" width="17" customWidth="1"/>
    <col min="4" max="4" width="19" customWidth="1"/>
    <col min="5" max="5" width="3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One-time Price</t>
        </is>
      </c>
      <c r="D1" t="inlineStr" s="1">
        <is>
          <t>Monthly Retainer</t>
        </is>
      </c>
      <c r="E1" t="inlineStr" s="1">
        <is>
          <t>Best For</t>
        </is>
      </c>
    </row>
    <row r="2" ht="42" customHeight="1">
      <c r="A2" t="inlineStr" s="6">
        <is>
          <t>Starter Refresh</t>
        </is>
      </c>
      <c r="B2" t="inlineStr" s="6">
        <is>
          <t>1 print menu + 1 Instagram menu panel</t>
        </is>
      </c>
      <c r="C2" s="7">
        <v>149</v>
      </c>
      <c r="D2" s="7">
        <v>0</v>
      </c>
      <c r="E2" t="inlineStr" s="6">
        <is>
          <t>Tiny cafes testing demand</t>
        </is>
      </c>
    </row>
    <row r="3" ht="42" customHeight="1">
      <c r="A3" t="inlineStr" s="2">
        <is>
          <t>Standard Refresh</t>
        </is>
      </c>
      <c r="B3" t="inlineStr" s="2">
        <is>
          <t>Print, QR menu, Google menu link, 3 social panels</t>
        </is>
      </c>
      <c r="C3" s="3">
        <v>349</v>
      </c>
      <c r="D3" s="3">
        <v>99</v>
      </c>
      <c r="E3" t="inlineStr" s="2">
        <is>
          <t>Most cafes</t>
        </is>
      </c>
    </row>
    <row r="4" ht="42" customHeight="1">
      <c r="A4" t="inlineStr" s="6">
        <is>
          <t>Full Menu System</t>
        </is>
      </c>
      <c r="B4" t="inlineStr" s="6">
        <is>
          <t>Full redesign, QR flow, specials template, launch posts</t>
        </is>
      </c>
      <c r="C4" s="7">
        <v>699</v>
      </c>
      <c r="D4" s="7">
        <v>199</v>
      </c>
      <c r="E4" t="inlineStr" s="6">
        <is>
          <t>Multi-location or high-change menus</t>
        </is>
      </c>
    </row>
    <row r="5" ht="42" customHeight="1">
      <c r="A5" t="inlineStr" s="2">
        <is>
          <t>Monthly Specials</t>
        </is>
      </c>
      <c r="B5" t="inlineStr" s="2">
        <is>
          <t>Specials board, story graphic, menu link update</t>
        </is>
      </c>
      <c r="C5" s="3">
        <v>0</v>
      </c>
      <c r="D5" s="3">
        <v>149</v>
      </c>
      <c r="E5" t="inlineStr" s="2">
        <is>
          <t>Cafes that change offers weekly</t>
        </is>
      </c>
    </row>
    <row r="6" ht="42" customHeight="1">
      <c r="A6" t="inlineStr" s="6">
        <is>
          <t>Multi-location Add-on</t>
        </is>
      </c>
      <c r="B6" t="inlineStr" s="6">
        <is>
          <t>Replicate final system across each extra location</t>
        </is>
      </c>
      <c r="C6" s="7">
        <v>249</v>
      </c>
      <c r="D6" s="7">
        <v>75</v>
      </c>
      <c r="E6" t="inlineStr" s="6">
        <is>
          <t>Small cafe groups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5" customWidth="1"/>
    <col min="2" max="2" width="25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349</v>
      </c>
    </row>
    <row r="3" ht="42" customHeight="1">
      <c r="A3" t="inlineStr" s="2">
        <is>
          <t>Rush fee</t>
        </is>
      </c>
      <c r="B3" s="3">
        <v>75</v>
      </c>
    </row>
    <row r="4" ht="42" customHeight="1">
      <c r="A4" t="inlineStr" s="6">
        <is>
          <t>Extra menu page count</t>
        </is>
      </c>
      <c r="B4" s="8">
        <v>2</v>
      </c>
    </row>
    <row r="5" ht="42" customHeight="1">
      <c r="A5" t="inlineStr" s="2">
        <is>
          <t>Price per extra page</t>
        </is>
      </c>
      <c r="B5" s="3">
        <v>35</v>
      </c>
    </row>
    <row r="6" ht="42" customHeight="1">
      <c r="A6" t="inlineStr" s="6">
        <is>
          <t>Extra social panels</t>
        </is>
      </c>
      <c r="B6" s="8">
        <v>3</v>
      </c>
    </row>
    <row r="7" ht="42" customHeight="1">
      <c r="A7" t="inlineStr" s="2">
        <is>
          <t>Price per social panel</t>
        </is>
      </c>
      <c r="B7" s="3">
        <v>25</v>
      </c>
    </row>
    <row r="8" ht="42" customHeight="1">
      <c r="A8" t="inlineStr" s="6">
        <is>
          <t>Estimated quote</t>
        </is>
      </c>
      <c r="B8" s="7">
        <f>B2+B3+(B4*B5)+(B6*B7)</f>
      </c>
    </row>
    <row r="9" ht="42" customHeight="1">
      <c r="A9" t="inlineStr" s="2">
        <is>
          <t>Deposit due at 50%</t>
        </is>
      </c>
      <c r="B9" s="3">
        <f>B8*0.5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15" customWidth="1"/>
    <col min="3" max="3" width="21" customWidth="1"/>
    <col min="4" max="4" width="17" customWidth="1"/>
    <col min="5" max="5" width="20" customWidth="1"/>
    <col min="6" max="6" width="1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Month</t>
        </is>
      </c>
      <c r="B1" t="inlineStr" s="1">
        <is>
          <t>Client</t>
        </is>
      </c>
      <c r="C1" t="inlineStr" s="1">
        <is>
          <t>Refreshes Included</t>
        </is>
      </c>
      <c r="D1" t="inlineStr" s="1">
        <is>
          <t>Refreshes Used</t>
        </is>
      </c>
      <c r="E1" t="inlineStr" s="1">
        <is>
          <t>Extra Refresh Fee</t>
        </is>
      </c>
      <c r="F1" t="inlineStr" s="1">
        <is>
          <t>Extra Revenue</t>
        </is>
      </c>
    </row>
    <row r="2" ht="42" customHeight="1">
      <c r="A2" t="inlineStr" s="6">
        <is>
          <t>July</t>
        </is>
      </c>
      <c r="B2" t="inlineStr" s="6">
        <is>
          <t>Example Cafe</t>
        </is>
      </c>
      <c r="C2" s="8">
        <v>2</v>
      </c>
      <c r="D2" s="8">
        <v>3</v>
      </c>
      <c r="E2" s="7">
        <v>45</v>
      </c>
      <c r="F2" s="7">
        <f>MAX(0,D2-C2)*E2</f>
      </c>
    </row>
    <row r="3" ht="42" customHeight="1">
      <c r="A3" t="inlineStr" s="2">
        <is>
          <t>August</t>
        </is>
      </c>
      <c r="B3" t="inlineStr" s="2">
        <is>
          <t/>
        </is>
      </c>
      <c r="C3" s="4">
        <v>2</v>
      </c>
      <c r="D3" s="4">
        <v>0</v>
      </c>
      <c r="E3" s="3">
        <v>45</v>
      </c>
      <c r="F3" s="3">
        <f>MAX(0,D3-C3)*E3</f>
      </c>
    </row>
    <row r="4" ht="42" customHeight="1">
      <c r="A4" t="inlineStr" s="6">
        <is>
          <t>September</t>
        </is>
      </c>
      <c r="B4" t="inlineStr" s="6">
        <is>
          <t/>
        </is>
      </c>
      <c r="C4" s="8">
        <v>2</v>
      </c>
      <c r="D4" s="8">
        <v>0</v>
      </c>
      <c r="E4" s="7">
        <v>45</v>
      </c>
      <c r="F4" s="7">
        <f>MAX(0,D4-C4)*E4</f>
      </c>
    </row>
  </sheetData>
  <pageMargins left="0.45" right="0.45" top="0.6" bottom="0.6" header="0.3" footer="0.3"/>
  <pageSetup orientation="landscape" fitToWidth="1" fitToHeight="0"/>
  <headerFooter>
    <oddHeader>&amp;LSide Hustle Stephen - Retainer Tracker&amp;R&amp;D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46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Current menu file or photos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Confirmed prices and sold-out items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Logo, fonts, brand colors</t>
        </is>
      </c>
      <c r="B4" t="inlineStr" s="6">
        <is>
          <t>Client</t>
        </is>
      </c>
      <c r="C4" t="inlineStr" s="6">
        <is>
          <t>No</t>
        </is>
      </c>
      <c r="D4" t="inlineStr" s="6">
        <is>
          <t>Open</t>
        </is>
      </c>
    </row>
    <row r="5" ht="42" customHeight="1">
      <c r="A5" t="inlineStr" s="2">
        <is>
          <t>Google Business Profile access or menu link</t>
        </is>
      </c>
      <c r="B5" t="inlineStr" s="2">
        <is>
          <t>Client</t>
        </is>
      </c>
      <c r="C5" t="inlineStr" s="2">
        <is>
          <t>No</t>
        </is>
      </c>
      <c r="D5" t="inlineStr" s="2">
        <is>
          <t>Open</t>
        </is>
      </c>
    </row>
  </sheetData>
  <autoFilter ref="A1:D5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refresh your customer-facing menu assets across the agreed formats and return final files ready to use.</t>
        </is>
      </c>
    </row>
    <row r="3" ht="42" customHeight="1">
      <c r="A3" t="inlineStr" s="2">
        <is>
          <t>Approval</t>
        </is>
      </c>
      <c r="B3" t="inlineStr" s="2">
        <is>
          <t>You approve item names, prices, allergens, sold-out items, and final exports before publishing.</t>
        </is>
      </c>
    </row>
    <row r="4" ht="42" customHeight="1">
      <c r="A4" t="inlineStr" s="6">
        <is>
          <t>Not included</t>
        </is>
      </c>
      <c r="B4" t="inlineStr" s="6">
        <is>
          <t>Photography, new brand identity, paid ads, printing costs, and menu engineering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Menu Refresh Pricing Sheet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Starter price should feel like a paid test, not a full rebrand.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Standard package should include the formats most cafes actually use: print, Instagram, QR, and Google menu link.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Retainer only makes sense if the cafe changes specials, seasonal items, or prices at least monthly.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Raise price when there are multiple locations, poor source files, rush turnaround, or more than one approval stakeholder.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