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Add-ons" sheetId="5" r:id="rId5"/>
    <sheet name="Job Profit Check" sheetId="6" r:id="rId6"/>
    <sheet name="Client Inputs" sheetId="7" r:id="rId7"/>
    <sheet name="Job Log" sheetId="8" r:id="rId8"/>
    <sheet name="Proposal Copy" sheetId="9" r:id="rId9"/>
    <sheet name="Worked Example" sheetId="10" r:id="rId10"/>
    <sheet name="Delivery &amp; QA" sheetId="11" r:id="rId11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Garage Install Quote Calculator</t>
        </is>
      </c>
    </row>
    <row r="3" ht="42" customHeight="1">
      <c r="A3" t="inlineStr" s="2">
        <is>
          <t>Pack</t>
        </is>
      </c>
      <c r="B3" t="inlineStr" s="2">
        <is>
          <t>Garage Shelf Installation</t>
        </is>
      </c>
    </row>
    <row r="4" ht="42" customHeight="1">
      <c r="A4" t="inlineStr" s="6">
        <is>
          <t>What this is</t>
        </is>
      </c>
      <c r="B4" t="inlineStr" s="6">
        <is>
          <t>Single-bay, double, and premium install tiers with add-ons, materials, travel, quote builder, profit check, and recurring-organising options.</t>
        </is>
      </c>
    </row>
    <row r="5" ht="42" customHeight="1">
      <c r="A5" t="inlineStr" s="2">
        <is>
          <t>Buyer</t>
        </is>
      </c>
      <c r="B5" t="inlineStr" s="2">
        <is>
          <t>Homeowners, renters, landlords, and property managers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$101-$500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an install tier based on garage size, wall type, what is being stored, and access.</t>
        </is>
      </c>
    </row>
    <row r="3" ht="42" customHeight="1">
      <c r="A3" s="4">
        <v>2</v>
      </c>
      <c r="B3" t="inlineStr" s="2">
        <is>
          <t>Use Quote Builder for one job. Edit only the input values in column B. Labour is priced separately from materials.</t>
        </is>
      </c>
    </row>
    <row r="4" ht="42" customHeight="1">
      <c r="A4" s="8">
        <v>3</v>
      </c>
      <c r="B4" t="inlineStr" s="6">
        <is>
          <t>Add Add-ons (overhead racks, pegboard, hooks, workbench) per item and confirm wall suitability first.</t>
        </is>
      </c>
    </row>
    <row r="5" ht="42" customHeight="1">
      <c r="A5" s="4">
        <v>4</v>
      </c>
      <c r="B5" t="inlineStr" s="2">
        <is>
          <t>Use Job Profit Check to keep labour profitable; use Job Log to capture before/after proof and referrals.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4" customWidth="1"/>
    <col min="2" max="2" width="55" customWidth="1"/>
    <col min="3" max="3" width="12" customWidth="1"/>
    <col min="4" max="4" width="36" customWidth="1"/>
    <col min="5" max="5" width="41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Tier</t>
        </is>
      </c>
      <c r="B1" t="inlineStr" s="1">
        <is>
          <t>Deliverables (labour)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Sample Organise</t>
        </is>
      </c>
      <c r="B2" t="inlineStr" s="6">
        <is>
          <t>Tidy + mount one short shelf run, before/after photo</t>
        </is>
      </c>
      <c r="C2" s="7">
        <v>0</v>
      </c>
      <c r="D2" t="inlineStr" s="6">
        <is>
          <t>Proof for a neighbour or landlord</t>
        </is>
      </c>
      <c r="E2" t="inlineStr" s="6">
        <is>
          <t>Use selectively, not as free labour</t>
        </is>
      </c>
    </row>
    <row r="3" ht="42" customHeight="1">
      <c r="A3" t="inlineStr" s="2">
        <is>
          <t>Single-Bay Install</t>
        </is>
      </c>
      <c r="B3" t="inlineStr" s="2">
        <is>
          <t>One wall of shelving in a single-car garage</t>
        </is>
      </c>
      <c r="C3" s="3">
        <v>350</v>
      </c>
      <c r="D3" t="inlineStr" s="2">
        <is>
          <t>Most homeowners</t>
        </is>
      </c>
      <c r="E3" t="inlineStr" s="2">
        <is>
          <t>Core offer</t>
        </is>
      </c>
    </row>
    <row r="4" ht="42" customHeight="1">
      <c r="A4" t="inlineStr" s="6">
        <is>
          <t>Double-Garage Install</t>
        </is>
      </c>
      <c r="B4" t="inlineStr" s="6">
        <is>
          <t>Two walls of shelving + basic hooks</t>
        </is>
      </c>
      <c r="C4" s="7">
        <v>550</v>
      </c>
      <c r="D4" t="inlineStr" s="6">
        <is>
          <t>Family garages</t>
        </is>
      </c>
      <c r="E4" t="inlineStr" s="6">
        <is>
          <t>Confirm stud spacing and wall type</t>
        </is>
      </c>
    </row>
    <row r="5" ht="42" customHeight="1">
      <c r="A5" t="inlineStr" s="2">
        <is>
          <t>Premium Storage Wall</t>
        </is>
      </c>
      <c r="B5" t="inlineStr" s="2">
        <is>
          <t>Shelving + overhead rack + pegboard + hooks</t>
        </is>
      </c>
      <c r="C5" s="3">
        <v>850</v>
      </c>
      <c r="D5" t="inlineStr" s="2">
        <is>
          <t>Full transformations</t>
        </is>
      </c>
      <c r="E5" t="inlineStr" s="2">
        <is>
          <t>Half to full day; confirm load ratings</t>
        </is>
      </c>
    </row>
    <row r="6" ht="42" customHeight="1">
      <c r="A6" t="inlineStr" s="6">
        <is>
          <t>Per-Property Bundle</t>
        </is>
      </c>
      <c r="B6" t="inlineStr" s="6">
        <is>
          <t>Repeat install across rentals/new builds</t>
        </is>
      </c>
      <c r="C6" t="inlineStr" s="6">
        <is>
          <t>POA</t>
        </is>
      </c>
      <c r="D6" t="inlineStr" s="6">
        <is>
          <t>Landlords and builders</t>
        </is>
      </c>
      <c r="E6" t="inlineStr" s="6">
        <is>
          <t>Quote per unit, photo handoff included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9" customWidth="1"/>
    <col min="2" max="2" width="3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install tier (labour)</t>
        </is>
      </c>
      <c r="B2" s="8">
        <v>350</v>
      </c>
    </row>
    <row r="3" ht="42" customHeight="1">
      <c r="A3" t="inlineStr" s="2">
        <is>
          <t>Travel/setup fee</t>
        </is>
      </c>
      <c r="B3" s="3">
        <v>40</v>
      </c>
    </row>
    <row r="4" ht="42" customHeight="1">
      <c r="A4" t="inlineStr" s="6">
        <is>
          <t>Extra shelf run</t>
        </is>
      </c>
      <c r="B4" s="8">
        <v>1</v>
      </c>
    </row>
    <row r="5" ht="42" customHeight="1">
      <c r="A5" t="inlineStr" s="2">
        <is>
          <t>Price per extra shelf run</t>
        </is>
      </c>
      <c r="B5" s="3">
        <v>90</v>
      </c>
    </row>
    <row r="6" ht="42" customHeight="1">
      <c r="A6" t="inlineStr" s="6">
        <is>
          <t>Overhead rack install</t>
        </is>
      </c>
      <c r="B6" s="8">
        <v>150</v>
      </c>
    </row>
    <row r="7" ht="42" customHeight="1">
      <c r="A7" t="inlineStr" s="2">
        <is>
          <t>Pegboard wall install</t>
        </is>
      </c>
      <c r="B7" s="4">
        <v>120</v>
      </c>
    </row>
    <row r="8" ht="42" customHeight="1">
      <c r="A8" t="inlineStr" s="6">
        <is>
          <t>Materials (shelving/anchors) at cost</t>
        </is>
      </c>
      <c r="B8" s="7">
        <v>220</v>
      </c>
    </row>
    <row r="9" ht="42" customHeight="1">
      <c r="A9" t="inlineStr" s="2">
        <is>
          <t>Materials handling markup %</t>
        </is>
      </c>
      <c r="B9" s="4">
        <v>0.15</v>
      </c>
    </row>
    <row r="10" ht="42" customHeight="1">
      <c r="A10" t="inlineStr" s="6">
        <is>
          <t>Estimated quote</t>
        </is>
      </c>
      <c r="B10" s="7">
        <f>B2+B3+(B4*B5)+B6+B7+B8*(1+B9)</f>
      </c>
    </row>
    <row r="11" ht="42" customHeight="1">
      <c r="A11" t="inlineStr" s="2">
        <is>
          <t>Deposit due at 30%</t>
        </is>
      </c>
      <c r="B11" s="3">
        <f>B10*0.3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28" customWidth="1"/>
    <col min="2" max="2" width="17" customWidth="1"/>
    <col min="3" max="3" width="37" customWidth="1"/>
    <col min="4" max="4" width="40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Add-on</t>
        </is>
      </c>
      <c r="B1" t="inlineStr" s="1">
        <is>
          <t>Typical Labour</t>
        </is>
      </c>
      <c r="C1" t="inlineStr" s="1">
        <is>
          <t>Wall Check Needed</t>
        </is>
      </c>
      <c r="D1" t="inlineStr" s="1">
        <is>
          <t>Notes</t>
        </is>
      </c>
    </row>
    <row r="2" ht="42" customHeight="1">
      <c r="A2" t="inlineStr" s="6">
        <is>
          <t>Overhead/ceiling rack</t>
        </is>
      </c>
      <c r="B2" s="8">
        <v>150</v>
      </c>
      <c r="C2" t="inlineStr" s="6">
        <is>
          <t>Yes - ceiling joists + load rating</t>
        </is>
      </c>
      <c r="D2" t="inlineStr" s="6">
        <is>
          <t>Refer heavy/structural loads to a pro</t>
        </is>
      </c>
    </row>
    <row r="3" ht="42" customHeight="1">
      <c r="A3" t="inlineStr" s="2">
        <is>
          <t>Pegboard / slatwall panel</t>
        </is>
      </c>
      <c r="B3" s="4">
        <v>120</v>
      </c>
      <c r="C3" t="inlineStr" s="2">
        <is>
          <t>Yes - anchor to studs</t>
        </is>
      </c>
      <c r="D3" t="inlineStr" s="2">
        <is>
          <t>Great for tool walls</t>
        </is>
      </c>
    </row>
    <row r="4" ht="42" customHeight="1">
      <c r="A4" t="inlineStr" s="6">
        <is>
          <t>Bike + tool hooks</t>
        </is>
      </c>
      <c r="B4" s="8">
        <v>60</v>
      </c>
      <c r="C4" t="inlineStr" s="6">
        <is>
          <t>Yes - studs or rated anchors</t>
        </is>
      </c>
      <c r="D4" t="inlineStr" s="6">
        <is>
          <t>Quick high-impact add</t>
        </is>
      </c>
    </row>
    <row r="5" ht="42" customHeight="1">
      <c r="A5" t="inlineStr" s="2">
        <is>
          <t>Workbench mount/assembly</t>
        </is>
      </c>
      <c r="B5" s="4">
        <v>180</v>
      </c>
      <c r="C5" t="inlineStr" s="2">
        <is>
          <t>Sometimes</t>
        </is>
      </c>
      <c r="D5" t="inlineStr" s="2">
        <is>
          <t>Assembly + secure to wall</t>
        </is>
      </c>
    </row>
    <row r="6" ht="42" customHeight="1">
      <c r="A6" t="inlineStr" s="6">
        <is>
          <t>Haul-away of old shelving</t>
        </is>
      </c>
      <c r="B6" s="8">
        <v>60</v>
      </c>
      <c r="C6" t="inlineStr" s="6">
        <is>
          <t>No</t>
        </is>
      </c>
      <c r="D6" t="inlineStr" s="6">
        <is>
          <t>Confirm disposal rules locally</t>
        </is>
      </c>
    </row>
  </sheetData>
  <autoFilter ref="A1:D6"/>
  <pageMargins left="0.45" right="0.45" top="0.6" bottom="0.6" header="0.3" footer="0.3"/>
  <pageSetup orientation="landscape" fitToWidth="1" fitToHeight="0"/>
  <headerFooter>
    <oddHeader>&amp;LSide Hustle Stephen - Add-ons&amp;R&amp;D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32" customWidth="1"/>
    <col min="2" max="2" width="22" customWidth="1"/>
    <col min="3" max="3" width="45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Labour quote</t>
        </is>
      </c>
      <c r="B2" s="7">
        <f>'Quote Builder'!B2</f>
      </c>
      <c r="C2" t="inlineStr" s="6">
        <is>
          <t>Labour only, excludes materials</t>
        </is>
      </c>
    </row>
    <row r="3" ht="42" customHeight="1">
      <c r="A3" t="inlineStr" s="2">
        <is>
          <t>Tool depreciation/consumables</t>
        </is>
      </c>
      <c r="B3" s="4">
        <v>15</v>
      </c>
      <c r="C3" t="inlineStr" s="2">
        <is>
          <t>Anchors, bits, blades per job</t>
        </is>
      </c>
    </row>
    <row r="4" ht="42" customHeight="1">
      <c r="A4" t="inlineStr" s="6">
        <is>
          <t>Fuel/transport</t>
        </is>
      </c>
      <c r="B4" s="8">
        <v>20</v>
      </c>
      <c r="C4" t="inlineStr" s="6">
        <is>
          <t>Use actual</t>
        </is>
      </c>
    </row>
    <row r="5" ht="42" customHeight="1">
      <c r="A5" t="inlineStr" s="2">
        <is>
          <t>Total hard cost</t>
        </is>
      </c>
      <c r="B5" s="3">
        <f>B3+B4</f>
      </c>
      <c r="C5" t="inlineStr" s="2">
        <is>
          <t/>
        </is>
      </c>
    </row>
    <row r="6" ht="42" customHeight="1">
      <c r="A6" t="inlineStr" s="6">
        <is>
          <t>Gross margin</t>
        </is>
      </c>
      <c r="B6" s="8">
        <f>B2-B5</f>
      </c>
      <c r="C6" t="inlineStr" s="6">
        <is>
          <t/>
        </is>
      </c>
    </row>
    <row r="7" ht="42" customHeight="1">
      <c r="A7" t="inlineStr" s="2">
        <is>
          <t>Job hours</t>
        </is>
      </c>
      <c r="B7" s="4">
        <v>4</v>
      </c>
      <c r="C7" t="inlineStr" s="2">
        <is>
          <t>Travel, layout, mounting, cleanup, handoff</t>
        </is>
      </c>
    </row>
    <row r="8" ht="42" customHeight="1">
      <c r="A8" t="inlineStr" s="6">
        <is>
          <t>Hourly gross</t>
        </is>
      </c>
      <c r="B8" s="8">
        <f>IF(B7=0,"",B6/B7)</f>
      </c>
      <c r="C8" t="inlineStr" s="6">
        <is>
          <t/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Job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51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Garage photos (each wall + ceiling)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Approx size (single/double) + ceiling height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Wall material (plasterboard/brick/block/timber)</t>
        </is>
      </c>
      <c r="B4" t="inlineStr" s="6">
        <is>
          <t>Client</t>
        </is>
      </c>
      <c r="C4" t="inlineStr" s="6">
        <is>
          <t>Yes</t>
        </is>
      </c>
      <c r="D4" t="inlineStr" s="6">
        <is>
          <t>Open</t>
        </is>
      </c>
    </row>
    <row r="5" ht="42" customHeight="1">
      <c r="A5" t="inlineStr" s="2">
        <is>
          <t>What needs storing (boxes, bikes, tools, sports)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Known wiring, pipes, or conduit in walls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  <row r="7" ht="42" customHeight="1">
      <c r="A7" t="inlineStr" s="2">
        <is>
          <t>Who supplies shelving/racks (you or client)</t>
        </is>
      </c>
      <c r="B7" t="inlineStr" s="2">
        <is>
          <t>Client</t>
        </is>
      </c>
      <c r="C7" t="inlineStr" s="2">
        <is>
          <t>Yes</t>
        </is>
      </c>
      <c r="D7" t="inlineStr" s="2">
        <is>
          <t>Open</t>
        </is>
      </c>
    </row>
    <row r="8" ht="42" customHeight="1">
      <c r="A8" t="inlineStr" s="6">
        <is>
          <t>Access, parking, pets, and timing constraints</t>
        </is>
      </c>
      <c r="B8" t="inlineStr" s="6">
        <is>
          <t>Client</t>
        </is>
      </c>
      <c r="C8" t="inlineStr" s="6">
        <is>
          <t>No</t>
        </is>
      </c>
      <c r="D8" t="inlineStr" s="6">
        <is>
          <t>Open</t>
        </is>
      </c>
    </row>
  </sheetData>
  <autoFilter ref="A1:D8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1" customWidth="1"/>
    <col min="2" max="2" width="17" customWidth="1"/>
    <col min="3" max="3" width="15" customWidth="1"/>
    <col min="4" max="4" width="20" customWidth="1"/>
    <col min="5" max="5" width="16" customWidth="1"/>
    <col min="6" max="6" width="18" customWidth="1"/>
    <col min="7" max="7" width="3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Job</t>
        </is>
      </c>
      <c r="B1" t="inlineStr" s="1">
        <is>
          <t>Before photos?</t>
        </is>
      </c>
      <c r="C1" t="inlineStr" s="1">
        <is>
          <t>Wall type</t>
        </is>
      </c>
      <c r="D1" t="inlineStr" s="1">
        <is>
          <t>Services located?</t>
        </is>
      </c>
      <c r="E1" t="inlineStr" s="1">
        <is>
          <t>After photos?</t>
        </is>
      </c>
      <c r="F1" t="inlineStr" s="1">
        <is>
          <t>Referral asked?</t>
        </is>
      </c>
      <c r="G1" t="inlineStr" s="1">
        <is>
          <t>Notes</t>
        </is>
      </c>
    </row>
    <row r="2" ht="42" customHeight="1">
      <c r="A2" t="inlineStr" s="6">
        <is>
          <t>Example single-bay</t>
        </is>
      </c>
      <c r="B2" t="inlineStr" s="6">
        <is>
          <t>Yes</t>
        </is>
      </c>
      <c r="C2" t="inlineStr" s="6">
        <is>
          <t>Plasterboard</t>
        </is>
      </c>
      <c r="D2" t="inlineStr" s="6">
        <is>
          <t>Yes</t>
        </is>
      </c>
      <c r="E2" t="inlineStr" s="6">
        <is>
          <t>Yes</t>
        </is>
      </c>
      <c r="F2" t="inlineStr" s="6">
        <is>
          <t>Yes</t>
        </is>
      </c>
      <c r="G2" t="inlineStr" s="6">
        <is>
          <t>Mounted into studs + toggle anchors</t>
        </is>
      </c>
    </row>
    <row r="3" ht="42" customHeight="1">
      <c r="A3" t="inlineStr" s="2">
        <is>
          <t/>
        </is>
      </c>
      <c r="B3" t="inlineStr" s="2">
        <is>
          <t/>
        </is>
      </c>
      <c r="C3" t="inlineStr" s="2">
        <is>
          <t/>
        </is>
      </c>
      <c r="D3" t="inlineStr" s="2">
        <is>
          <t/>
        </is>
      </c>
      <c r="E3" t="inlineStr" s="2">
        <is>
          <t/>
        </is>
      </c>
      <c r="F3" t="inlineStr" s="2">
        <is>
          <t/>
        </is>
      </c>
      <c r="G3" t="inlineStr" s="2">
        <is>
          <t/>
        </is>
      </c>
    </row>
    <row r="4" ht="42" customHeight="1">
      <c r="A4" t="inlineStr" s="6">
        <is>
          <t/>
        </is>
      </c>
      <c r="B4" t="inlineStr" s="6">
        <is>
          <t/>
        </is>
      </c>
      <c r="C4" t="inlineStr" s="6">
        <is>
          <t/>
        </is>
      </c>
      <c r="D4" t="inlineStr" s="6">
        <is>
          <t/>
        </is>
      </c>
      <c r="E4" t="inlineStr" s="6">
        <is>
          <t/>
        </is>
      </c>
      <c r="F4" t="inlineStr" s="6">
        <is>
          <t/>
        </is>
      </c>
      <c r="G4" t="inlineStr" s="6">
        <is>
          <t/>
        </is>
      </c>
    </row>
    <row r="5" ht="42" customHeight="1">
      <c r="A5" t="inlineStr" s="2">
        <is>
          <t/>
        </is>
      </c>
      <c r="B5" t="inlineStr" s="2">
        <is>
          <t/>
        </is>
      </c>
      <c r="C5" t="inlineStr" s="2">
        <is>
          <t/>
        </is>
      </c>
      <c r="D5" t="inlineStr" s="2">
        <is>
          <t/>
        </is>
      </c>
      <c r="E5" t="inlineStr" s="2">
        <is>
          <t/>
        </is>
      </c>
      <c r="F5" t="inlineStr" s="2">
        <is>
          <t/>
        </is>
      </c>
      <c r="G5" t="inlineStr" s="2">
        <is>
          <t/>
        </is>
      </c>
    </row>
  </sheetData>
  <autoFilter ref="A1:G5"/>
  <pageMargins left="0.45" right="0.45" top="0.6" bottom="0.6" header="0.3" footer="0.3"/>
  <pageSetup orientation="landscape" fitToWidth="1" fitToHeight="0"/>
  <headerFooter>
    <oddHeader>&amp;LSide Hustle Stephen - Job Log&amp;R&amp;D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install the agreed manufactured shelving, racks, and hooks, mounted level and into suitable fixings, and send before/after photos when done.</t>
        </is>
      </c>
    </row>
    <row r="3" ht="42" customHeight="1">
      <c r="A3" t="inlineStr" s="2">
        <is>
          <t>Boundary</t>
        </is>
      </c>
      <c r="B3" t="inlineStr" s="2">
        <is>
          <t>I install manufactured storage products. Structural changes, load-bearing modifications, heavy ceiling-mounted loads, and electrical or plumbing work are not included.</t>
        </is>
      </c>
    </row>
    <row r="4" ht="42" customHeight="1">
      <c r="A4" t="inlineStr" s="6">
        <is>
          <t>Approval</t>
        </is>
      </c>
      <c r="B4" t="inlineStr" s="6">
        <is>
          <t>You confirm wall type, what is being stored, any wiring/pipes, the layout, and the items to clear before work starts.</t>
        </is>
      </c>
    </row>
    <row r="5" ht="42" customHeight="1">
      <c r="A5" t="inlineStr" s="2">
        <is>
          <t>Not included</t>
        </is>
      </c>
      <c r="B5" t="inlineStr" s="2">
        <is>
          <t>Custom carpentry, repairs to existing walls, removal of fixed structures, and storage of contents beyond product weight ratings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Garage Install Quote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Replace with the buyer's visible problem.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Choose the highest-confidence next step.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Mark facts, claims, and prices that need approval.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Convert the first delivery into a retainer or next sprint.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1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